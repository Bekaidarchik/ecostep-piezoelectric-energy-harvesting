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lot Tracker" sheetId="1" r:id="rId1"/>
    <sheet name="Summary" sheetId="2" r:id="rId2"/>
    <sheet name="List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FFFFFF"/>
      <sz val="1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064E3B"/>
        <bgColor indexed="64"/>
      </patternFill>
    </fill>
  </fills>
  <borders count="2">
    <border>
      <left/>
      <right/>
      <top/>
      <bottom/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0" fontId="2" fillId="4" borderId="1" xfId="0" applyFont="1" applyFill="1" applyBorder="1" applyAlignment="1">
      <alignment wrapText="1" vertical="center"/>
    </xf>
    <xf numFmtId="0" fontId="0" fillId="3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4" customWidth="1"/>
    <col min="2" max="2" width="22" customWidth="1"/>
    <col min="3" max="4" width="28" customWidth="1"/>
    <col min="5" max="6" width="16" customWidth="1"/>
    <col min="7" max="7" width="20" customWidth="1"/>
    <col min="8" max="9" width="15" customWidth="1"/>
    <col min="10" max="10" width="19" customWidth="1"/>
    <col min="11" max="12" width="42" customWidth="1"/>
    <col min="13" max="14" width="17" customWidth="1"/>
  </cols>
  <sheetData>
    <row r="1">
      <c r="A1" t="inlineStr" s="1">
        <is>
          <t>Organization</t>
        </is>
      </c>
      <c r="B1" t="inlineStr" s="1">
        <is>
          <t>Category</t>
        </is>
      </c>
      <c r="C1" t="inlineStr" s="1">
        <is>
          <t>Contact Name</t>
        </is>
      </c>
      <c r="D1" t="inlineStr" s="1">
        <is>
          <t>Email / Contact</t>
        </is>
      </c>
      <c r="E1" t="inlineStr" s="1">
        <is>
          <t>Status</t>
        </is>
      </c>
      <c r="F1" t="inlineStr" s="1">
        <is>
          <t>Priority</t>
        </is>
      </c>
      <c r="G1" t="inlineStr" s="1">
        <is>
          <t>Owner</t>
        </is>
      </c>
      <c r="H1" t="inlineStr" s="1">
        <is>
          <t>Date Sent</t>
        </is>
      </c>
      <c r="I1" t="inlineStr" s="1">
        <is>
          <t>Follow-up Date</t>
        </is>
      </c>
      <c r="J1" t="inlineStr" s="1">
        <is>
          <t>Ask Type</t>
        </is>
      </c>
      <c r="K1" t="inlineStr" s="1">
        <is>
          <t>Notes</t>
        </is>
      </c>
      <c r="L1" t="inlineStr" s="1">
        <is>
          <t>Response / Next Step</t>
        </is>
      </c>
      <c r="M1" t="inlineStr" s="1">
        <is>
          <t>Days Since Sent</t>
        </is>
      </c>
      <c r="N1" t="inlineStr" s="1">
        <is>
          <t>Follow-up Due?</t>
        </is>
      </c>
    </row>
    <row r="2">
      <c r="A2" t="inlineStr" s="2">
        <is>
          <t>Almaty Metro</t>
        </is>
      </c>
      <c r="B2" t="inlineStr" s="2">
        <is>
          <t>Public transport / metro</t>
        </is>
      </c>
      <c r="C2" s="2"/>
      <c r="D2" t="inlineStr" s="2">
        <is>
          <t>Operations or partnerships contact</t>
        </is>
      </c>
      <c r="E2" t="inlineStr" s="2">
        <is>
          <t>Not Started</t>
        </is>
      </c>
      <c r="F2" t="inlineStr" s="2">
        <is>
          <t>High</t>
        </is>
      </c>
      <c r="G2" t="inlineStr" s="2">
        <is>
          <t>Amangeldi Bekaidar</t>
        </is>
      </c>
      <c r="H2" s="2"/>
      <c r="I2" s="2"/>
      <c r="J2" t="inlineStr" s="2">
        <is>
          <t>Feedback meeting</t>
        </is>
      </c>
      <c r="K2" t="inlineStr" s="2">
        <is>
          <t>Ask for feedback or pathway to controlled demo. Do not claim partnership.</t>
        </is>
      </c>
      <c r="L2" s="2"/>
      <c r="M2" s="2">
        <f>IF(H2="","",TODAY()-H2)</f>
      </c>
      <c r="N2" s="2">
        <f>IF(I2="","",IF(I2&lt;=TODAY(),"Due","Not yet"))</f>
      </c>
    </row>
    <row r="3">
      <c r="A3" t="inlineStr" s="2">
        <is>
          <t>School pilot option</t>
        </is>
      </c>
      <c r="B3" t="inlineStr" s="2">
        <is>
          <t>School / education</t>
        </is>
      </c>
      <c r="C3" s="2"/>
      <c r="D3" t="inlineStr" s="2">
        <is>
          <t>Principal/STEM teacher/facilities contact</t>
        </is>
      </c>
      <c r="E3" t="inlineStr" s="2">
        <is>
          <t>Not Started</t>
        </is>
      </c>
      <c r="F3" t="inlineStr" s="2">
        <is>
          <t>High</t>
        </is>
      </c>
      <c r="G3" t="inlineStr" s="2">
        <is>
          <t>Amangeldi Bekaidar</t>
        </is>
      </c>
      <c r="H3" s="2"/>
      <c r="I3" s="2"/>
      <c r="J3" t="inlineStr" s="2">
        <is>
          <t>Controlled demo</t>
        </is>
      </c>
      <c r="K3" t="inlineStr" s="2">
        <is>
          <t>Good first educational pilot if safety is simple.</t>
        </is>
      </c>
      <c r="L3" s="2"/>
      <c r="M3" s="2">
        <f>IF(H3="","",TODAY()-H3)</f>
      </c>
      <c r="N3" s="2">
        <f>IF(I3="","",IF(I3&lt;=TODAY(),"Due","Not yet"))</f>
      </c>
    </row>
    <row r="4">
      <c r="A4" t="inlineStr" s="2">
        <is>
          <t>University engineering lab</t>
        </is>
      </c>
      <c r="B4" t="inlineStr" s="2">
        <is>
          <t>University / lab</t>
        </is>
      </c>
      <c r="C4" s="2"/>
      <c r="D4" t="inlineStr" s="2">
        <is>
          <t>Engineering faculty or lab manager</t>
        </is>
      </c>
      <c r="E4" t="inlineStr" s="2">
        <is>
          <t>Not Started</t>
        </is>
      </c>
      <c r="F4" t="inlineStr" s="2">
        <is>
          <t>High</t>
        </is>
      </c>
      <c r="G4" t="inlineStr" s="2">
        <is>
          <t>Amangeldi Bekaidar</t>
        </is>
      </c>
      <c r="H4" s="2"/>
      <c r="I4" s="2"/>
      <c r="J4" t="inlineStr" s="2">
        <is>
          <t>Measurement support</t>
        </is>
      </c>
      <c r="K4" t="inlineStr" s="2">
        <is>
          <t>Ask for voltage-time logging support and test setup feedback.</t>
        </is>
      </c>
      <c r="L4" s="2"/>
      <c r="M4" s="2">
        <f>IF(H4="","",TODAY()-H4)</f>
      </c>
      <c r="N4" s="2">
        <f>IF(I4="","",IF(I4&lt;=TODAY(),"Due","Not yet"))</f>
      </c>
    </row>
    <row r="5">
      <c r="A5" t="inlineStr" s="2">
        <is>
          <t>Electronics repair / maker lab</t>
        </is>
      </c>
      <c r="B5" t="inlineStr" s="2">
        <is>
          <t>Lab / maker space</t>
        </is>
      </c>
      <c r="C5" s="2"/>
      <c r="D5" t="inlineStr" s="2">
        <is>
          <t>Technical mentor</t>
        </is>
      </c>
      <c r="E5" t="inlineStr" s="2">
        <is>
          <t>Not Started</t>
        </is>
      </c>
      <c r="F5" t="inlineStr" s="2">
        <is>
          <t>Medium</t>
        </is>
      </c>
      <c r="G5" t="inlineStr" s="2">
        <is>
          <t>Amangeldi Bekaidar</t>
        </is>
      </c>
      <c r="H5" s="2"/>
      <c r="I5" s="2"/>
      <c r="J5" t="inlineStr" s="2">
        <is>
          <t>Measurement support</t>
        </is>
      </c>
      <c r="K5" t="inlineStr" s="2">
        <is>
          <t>Possible help with oscilloscope load tests and wiring topology.</t>
        </is>
      </c>
      <c r="L5" s="2"/>
      <c r="M5" s="2">
        <f>IF(H5="","",TODAY()-H5)</f>
      </c>
      <c r="N5" s="2">
        <f>IF(I5="","",IF(I5&lt;=TODAY(),"Due","Not yet"))</f>
      </c>
    </row>
    <row r="6">
      <c r="A6" t="inlineStr" s="2">
        <is>
          <t>Shopping mall operator</t>
        </is>
      </c>
      <c r="B6" t="inlineStr" s="2">
        <is>
          <t>Mall / public space</t>
        </is>
      </c>
      <c r="C6" s="2"/>
      <c r="D6" t="inlineStr" s="2">
        <is>
          <t>Facilities or sustainability contact</t>
        </is>
      </c>
      <c r="E6" t="inlineStr" s="2">
        <is>
          <t>Not Started</t>
        </is>
      </c>
      <c r="F6" t="inlineStr" s="2">
        <is>
          <t>Medium</t>
        </is>
      </c>
      <c r="G6" t="inlineStr" s="2">
        <is>
          <t>Amangeldi Bekaidar</t>
        </is>
      </c>
      <c r="H6" s="2"/>
      <c r="I6" s="2"/>
      <c r="J6" t="inlineStr" s="2">
        <is>
          <t>Feedback meeting</t>
        </is>
      </c>
      <c r="K6" t="inlineStr" s="2">
        <is>
          <t>Treat as future pilot conversation only.</t>
        </is>
      </c>
      <c r="L6" s="2"/>
      <c r="M6" s="2">
        <f>IF(H6="","",TODAY()-H6)</f>
      </c>
      <c r="N6" s="2">
        <f>IF(I6="","",IF(I6&lt;=TODAY(),"Due","Not yet"))</f>
      </c>
    </row>
    <row r="7">
      <c r="A7" t="inlineStr" s="2">
        <is>
          <t>Climate / youth organization</t>
        </is>
      </c>
      <c r="B7" t="inlineStr" s="2">
        <is>
          <t>Climate / NGO</t>
        </is>
      </c>
      <c r="C7" s="2"/>
      <c r="D7" t="inlineStr" s="2">
        <is>
          <t>Program lead</t>
        </is>
      </c>
      <c r="E7" t="inlineStr" s="2">
        <is>
          <t>Not Started</t>
        </is>
      </c>
      <c r="F7" t="inlineStr" s="2">
        <is>
          <t>Medium</t>
        </is>
      </c>
      <c r="G7" t="inlineStr" s="2">
        <is>
          <t>Amangeldi Bekaidar</t>
        </is>
      </c>
      <c r="H7" s="2"/>
      <c r="I7" s="2"/>
      <c r="J7" t="inlineStr" s="2">
        <is>
          <t>Mentorship</t>
        </is>
      </c>
      <c r="K7" t="inlineStr" s="2">
        <is>
          <t>Useful for public communication and climate-awareness framing.</t>
        </is>
      </c>
      <c r="L7" s="2"/>
      <c r="M7" s="2">
        <f>IF(H7="","",TODAY()-H7)</f>
      </c>
      <c r="N7" s="2">
        <f>IF(I7="","",IF(I7&lt;=TODAY(),"Due","Not yet"))</f>
      </c>
    </row>
    <row r="8">
      <c r="A8" t="inlineStr" s="2">
        <is>
          <t>Engineering mentor</t>
        </is>
      </c>
      <c r="B8" t="inlineStr" s="2">
        <is>
          <t>Individual mentor</t>
        </is>
      </c>
      <c r="C8" s="2"/>
      <c r="D8" t="inlineStr" s="2">
        <is>
          <t>Electrical or mechanical engineer</t>
        </is>
      </c>
      <c r="E8" t="inlineStr" s="2">
        <is>
          <t>Not Started</t>
        </is>
      </c>
      <c r="F8" t="inlineStr" s="2">
        <is>
          <t>Medium</t>
        </is>
      </c>
      <c r="G8" t="inlineStr" s="2">
        <is>
          <t>Amangeldi Bekaidar</t>
        </is>
      </c>
      <c r="H8" s="2"/>
      <c r="I8" s="2"/>
      <c r="J8" t="inlineStr" s="2">
        <is>
          <t>Technical feedback</t>
        </is>
      </c>
      <c r="K8" t="inlineStr" s="2">
        <is>
          <t>Ask for review of measurement plan and claim boundaries.</t>
        </is>
      </c>
      <c r="L8" s="2"/>
      <c r="M8" s="2">
        <f>IF(H8="","",TODAY()-H8)</f>
      </c>
      <c r="N8" s="2">
        <f>IF(I8="","",IF(I8&lt;=TODAY(),"Due","Not yet"))</f>
      </c>
    </row>
    <row r="9">
      <c r="A9" t="inlineStr" s="2">
        <is>
          <t>City innovation / education office</t>
        </is>
      </c>
      <c r="B9" t="inlineStr" s="2">
        <is>
          <t>Public sector / education</t>
        </is>
      </c>
      <c r="C9" s="2"/>
      <c r="D9" t="inlineStr" s="2">
        <is>
          <t>Innovation or youth project contact</t>
        </is>
      </c>
      <c r="E9" t="inlineStr" s="2">
        <is>
          <t>Not Started</t>
        </is>
      </c>
      <c r="F9" t="inlineStr" s="2">
        <is>
          <t>Low</t>
        </is>
      </c>
      <c r="G9" t="inlineStr" s="2">
        <is>
          <t>Amangeldi Bekaidar</t>
        </is>
      </c>
      <c r="H9" s="2"/>
      <c r="I9" s="2"/>
      <c r="J9" t="inlineStr" s="2">
        <is>
          <t>Referral</t>
        </is>
      </c>
      <c r="K9" t="inlineStr" s="2">
        <is>
          <t>Ask who handles student engineering pilots or demos.</t>
        </is>
      </c>
      <c r="L9" s="2"/>
      <c r="M9" s="2">
        <f>IF(H9="","",TODAY()-H9)</f>
      </c>
      <c r="N9" s="2">
        <f>IF(I9="","",IF(I9&lt;=TODAY(),"Due","Not yet"))</f>
      </c>
    </row>
  </sheetData>
  <autoFilter ref="A1:N9"/>
  <dataValidations count="3">
    <dataValidation type="list" allowBlank="1" showErrorMessage="1" sqref="E2:E100">
      <formula1>"Not Started,Drafted,Sent,Follow-up Due,Meeting Scheduled,Waiting,Closed,Rejected"</formula1>
    </dataValidation>
    <dataValidation type="list" allowBlank="1" showErrorMessage="1" sqref="F2:F100">
      <formula1>"High,Medium,Low"</formula1>
    </dataValidation>
    <dataValidation type="list" allowBlank="1" showErrorMessage="1" sqref="J2:J100">
      <formula1>"Feedback meeting,Controlled demo,Measurement support,Mentorship,Referral,Technical feedback"</formula1>
    </dataValidation>
  </dataValidation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4" customWidth="1"/>
    <col min="2" max="2" width="18" customWidth="1"/>
    <col min="3" max="3" width="4" customWidth="1"/>
    <col min="4" max="6" width="30" customWidth="1"/>
  </cols>
  <sheetData>
    <row r="1">
      <c r="A1" t="inlineStr" s="3">
        <is>
          <t>EcoStep Almaty Pilot Outreach Dashboard</t>
        </is>
      </c>
    </row>
    <row r="2">
      <c r="A2" t="inlineStr" s="4">
        <is>
          <t>Use this workbook to track feedback, lab measurement, and controlled demo conversations. Do not mark any organization as a partner until written confirmation exists.</t>
        </is>
      </c>
    </row>
    <row r="4">
      <c r="A4" t="inlineStr" s="1">
        <is>
          <t>Metric</t>
        </is>
      </c>
      <c r="B4" t="inlineStr" s="1">
        <is>
          <t>Value</t>
        </is>
      </c>
      <c r="C4" s="1"/>
      <c r="D4" t="inlineStr" s="1">
        <is>
          <t>Claim rule</t>
        </is>
      </c>
      <c r="E4" t="inlineStr" s="1">
        <is>
          <t>Allowed wording</t>
        </is>
      </c>
      <c r="F4" t="inlineStr" s="1">
        <is>
          <t>Avoid</t>
        </is>
      </c>
    </row>
    <row r="5">
      <c r="A5" t="inlineStr" s="2">
        <is>
          <t>Total targets</t>
        </is>
      </c>
      <c r="B5" s="2">
        <f>COUNTA('Pilot Tracker'!A2:A100)</f>
      </c>
      <c r="C5" s="2"/>
      <c r="D5" t="inlineStr" s="2">
        <is>
          <t>Stage</t>
        </is>
      </c>
      <c r="E5" t="inlineStr" s="2">
        <is>
          <t>working prototype, validation stage</t>
        </is>
      </c>
      <c r="F5" t="inlineStr" s="2">
        <is>
          <t>deployed product</t>
        </is>
      </c>
    </row>
    <row r="6">
      <c r="A6" t="inlineStr" s="2">
        <is>
          <t>High priority</t>
        </is>
      </c>
      <c r="B6" s="2">
        <f>COUNTIF('Pilot Tracker'!F2:F100,"High")</f>
      </c>
      <c r="C6" s="2"/>
      <c r="D6" t="inlineStr" s="2">
        <is>
          <t>Energy</t>
        </is>
      </c>
      <c r="E6" t="inlineStr" s="2">
        <is>
          <t>0.4 J/step is an unverified estimate</t>
        </is>
      </c>
      <c r="F6" t="inlineStr" s="2">
        <is>
          <t>verified 0.4 J/step</t>
        </is>
      </c>
    </row>
    <row r="7">
      <c r="A7" t="inlineStr" s="2">
        <is>
          <t>Messages sent</t>
        </is>
      </c>
      <c r="B7" s="2">
        <f>COUNTIF('Pilot Tracker'!E2:E100,"Sent")</f>
      </c>
      <c r="C7" s="2"/>
      <c r="D7" t="inlineStr" s="2">
        <is>
          <t>Metro</t>
        </is>
      </c>
      <c r="E7" t="inlineStr" s="2">
        <is>
          <t>target outreach organization</t>
        </is>
      </c>
      <c r="F7" t="inlineStr" s="2">
        <is>
          <t>confirmed partner</t>
        </is>
      </c>
    </row>
    <row r="8">
      <c r="A8" t="inlineStr" s="2">
        <is>
          <t>Follow-ups due</t>
        </is>
      </c>
      <c r="B8" s="2">
        <f>COUNTIF('Pilot Tracker'!N2:N100,"Due")</f>
      </c>
      <c r="C8" s="2"/>
      <c r="D8" t="inlineStr" s="2">
        <is>
          <t>Pilot</t>
        </is>
      </c>
      <c r="E8" t="inlineStr" s="2">
        <is>
          <t>controlled demo conversation</t>
        </is>
      </c>
      <c r="F8" t="inlineStr" s="2">
        <is>
          <t>approved installation</t>
        </is>
      </c>
    </row>
    <row r="9">
      <c r="A9" t="inlineStr" s="2">
        <is>
          <t>Meetings scheduled</t>
        </is>
      </c>
      <c r="B9" s="2">
        <f>COUNTIF('Pilot Tracker'!E2:E100,"Meeting Scheduled")</f>
      </c>
      <c r="C9" s="2"/>
      <c r="D9" s="2"/>
      <c r="E9" s="2"/>
      <c r="F9" s="2"/>
    </row>
  </sheetData>
  <mergeCells count="2">
    <mergeCell ref="A1:F1"/>
    <mergeCell ref="A2:F2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Data>
    <row r="1">
      <c r="A1" t="inlineStr" s="1">
        <is>
          <t>Status</t>
        </is>
      </c>
      <c r="B1" t="inlineStr" s="1">
        <is>
          <t>Priority</t>
        </is>
      </c>
      <c r="C1" t="inlineStr" s="1">
        <is>
          <t>Ask Type</t>
        </is>
      </c>
    </row>
    <row r="2">
      <c r="A2" t="inlineStr">
        <is>
          <t>Not Started</t>
        </is>
      </c>
      <c r="B2" t="inlineStr">
        <is>
          <t>High</t>
        </is>
      </c>
      <c r="C2" t="inlineStr">
        <is>
          <t>Feedback meeting</t>
        </is>
      </c>
    </row>
    <row r="3">
      <c r="A3" t="inlineStr">
        <is>
          <t>Drafted</t>
        </is>
      </c>
      <c r="B3" t="inlineStr">
        <is>
          <t>Medium</t>
        </is>
      </c>
      <c r="C3" t="inlineStr">
        <is>
          <t>Controlled demo</t>
        </is>
      </c>
    </row>
    <row r="4">
      <c r="A4" t="inlineStr">
        <is>
          <t>Sent</t>
        </is>
      </c>
      <c r="B4" t="inlineStr">
        <is>
          <t>Low</t>
        </is>
      </c>
      <c r="C4" t="inlineStr">
        <is>
          <t>Measurement support</t>
        </is>
      </c>
    </row>
    <row r="5">
      <c r="A5" t="inlineStr">
        <is>
          <t>Follow-up Due</t>
        </is>
      </c>
      <c r="C5" t="inlineStr">
        <is>
          <t>Mentorship</t>
        </is>
      </c>
    </row>
    <row r="6">
      <c r="A6" t="inlineStr">
        <is>
          <t>Meeting Scheduled</t>
        </is>
      </c>
      <c r="C6" t="inlineStr">
        <is>
          <t>Referral</t>
        </is>
      </c>
    </row>
    <row r="7">
      <c r="A7" t="inlineStr">
        <is>
          <t>Waiting</t>
        </is>
      </c>
      <c r="C7" t="inlineStr">
        <is>
          <t>Technical feedback</t>
        </is>
      </c>
    </row>
    <row r="8">
      <c r="A8" t="inlineStr">
        <is>
          <t>Closed</t>
        </is>
      </c>
    </row>
    <row r="9">
      <c r="A9" t="inlineStr">
        <is>
          <t>Rejected</t>
        </is>
      </c>
    </row>
  </sheetData>
</worksheet>
</file>