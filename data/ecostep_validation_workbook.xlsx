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4.xml" ContentType="application/vnd.openxmlformats-officedocument.spreadsheetml.worksheet+xml"/>
  <Override PartName="/xl/tables/table5.xml" ContentType="application/vnd.openxmlformats-officedocument.spreadsheetml.table+xml"/>
  <Override PartName="/xl/worksheets/sheet5.xml" ContentType="application/vnd.openxmlformats-officedocument.spreadsheetml.worksheet+xml"/>
  <Override PartName="/xl/tables/table6.xml" ContentType="application/vnd.openxmlformats-officedocument.spreadsheetml.table+xml"/>
  <Override PartName="/xl/worksheets/sheet6.xml" ContentType="application/vnd.openxmlformats-officedocument.spreadsheetml.worksheet+xml"/>
  <Override PartName="/xl/tables/table7.xml" ContentType="application/vnd.openxmlformats-officedocument.spreadsheetml.table+xml"/>
  <Override PartName="/xl/worksheets/sheet7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3a1b924843470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82a4c8fcf1042c9"/>
    <x:sheet xmlns:r="http://schemas.openxmlformats.org/officeDocument/2006/relationships" name="Validation_Estimates" sheetId="2" r:id="Rb8fbfbd1d5474733"/>
    <x:sheet xmlns:r="http://schemas.openxmlformats.org/officeDocument/2006/relationships" name="Chart_Data" sheetId="3" r:id="Rfd92c96b98b5489e"/>
    <x:sheet xmlns:r="http://schemas.openxmlformats.org/officeDocument/2006/relationships" name="Data_Dictionary" sheetId="4" r:id="R7455fe96bb8a4f1a"/>
    <x:sheet xmlns:r="http://schemas.openxmlformats.org/officeDocument/2006/relationships" name="Raw_Template" sheetId="5" r:id="R7ebd1c1e12c04501"/>
    <x:sheet xmlns:r="http://schemas.openxmlformats.org/officeDocument/2006/relationships" name="Cleaned_Template" sheetId="6" r:id="R97526f431f7b46e1"/>
    <x:sheet xmlns:r="http://schemas.openxmlformats.org/officeDocument/2006/relationships" name="Preliminary_Estimate" sheetId="7" r:id="R1d9dc1c13059477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8"/>
      <x:color rgb="FFFFFFFF"/>
      <x:name val="Carlito"/>
    </x:font>
    <x:font>
      <x:sz val="11"/>
      <x:color rgb="FF333333"/>
      <x:name val="Carlito"/>
    </x:font>
    <x:font>
      <x:b/>
      <x:sz val="11"/>
      <x:name val="Carlito"/>
    </x:font>
    <x:font>
      <x:sz val="10"/>
      <x:color rgb="FF111111"/>
      <x:name val="Aptos"/>
    </x:font>
    <x:font>
      <x:b/>
      <x:sz val="10"/>
      <x:color rgb="FFFFFFFF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11111"/>
      </x:patternFill>
    </x:fill>
    <x:fill>
      <x:patternFill patternType="solid">
        <x:fgColor rgb="FFF3F4F6"/>
      </x:patternFill>
    </x:fill>
    <x:fill>
      <x:patternFill patternType="solid">
        <x:fgColor rgb="FFE5E7EB"/>
      </x:patternFill>
    </x:fill>
  </x:fills>
  <x:borders count="2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1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0" borderId="1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4" fillId="0" borderId="1" xfId="0" applyNumberFormat="1" applyFont="1" applyFill="1" applyBorder="1"/>
    <x:xf numFmtId="0" fontId="4" fillId="2" borderId="1" xfId="0" applyNumberFormat="1" applyFont="1" applyFill="1" applyBorder="1"/>
    <x:xf numFmtId="0" fontId="5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06dbb6718324068" /><Relationship Type="http://schemas.openxmlformats.org/officeDocument/2006/relationships/theme" Target="/xl/theme/theme1.xml" Id="R5ee42958578f4a10" /><Relationship Type="http://schemas.openxmlformats.org/officeDocument/2006/relationships/sharedStrings" Target="/xl/sharedStrings.xml" Id="Rfc456a605bc74fb6" /><Relationship Type="http://schemas.openxmlformats.org/officeDocument/2006/relationships/worksheet" Target="/xl/worksheets/sheet1.xml" Id="Rd82a4c8fcf1042c9" /><Relationship Type="http://schemas.openxmlformats.org/officeDocument/2006/relationships/worksheet" Target="/xl/worksheets/sheet2.xml" Id="Rb8fbfbd1d5474733" /><Relationship Type="http://schemas.openxmlformats.org/officeDocument/2006/relationships/worksheet" Target="/xl/worksheets/sheet3.xml" Id="Rfd92c96b98b5489e" /><Relationship Type="http://schemas.openxmlformats.org/officeDocument/2006/relationships/worksheet" Target="/xl/worksheets/sheet4.xml" Id="R7455fe96bb8a4f1a" /><Relationship Type="http://schemas.openxmlformats.org/officeDocument/2006/relationships/worksheet" Target="/xl/worksheets/sheet5.xml" Id="R7ebd1c1e12c04501" /><Relationship Type="http://schemas.openxmlformats.org/officeDocument/2006/relationships/worksheet" Target="/xl/worksheets/sheet6.xml" Id="R97526f431f7b46e1" /><Relationship Type="http://schemas.openxmlformats.org/officeDocument/2006/relationships/worksheet" Target="/xl/worksheets/sheet7.xml" Id="R1d9dc1c13059477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9162233cba34f33" /><Relationship Type="http://schemas.openxmlformats.org/officeDocument/2006/relationships/chart" Target="/xl/drawings/charts/chart2.xml" Id="R1fc4480087a945d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Estimated Peak Voltage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Peak voltage (V)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'Chart_Data'!$A$5:$A$11</c:f>
              <c:strCache>
                <c:ptCount val="0"/>
              </c:strCache>
            </c:strRef>
          </c:cat>
          <c:val>
            <c:numRef>
              <c:f>'Chart_Data'!$B$5:$B$11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Estimated Energy Cases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Energy estimate (mJ)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'Chart_Data'!$D$5:$D$14</c:f>
              <c:strCache>
                <c:ptCount val="0"/>
              </c:strCache>
            </c:strRef>
          </c:cat>
          <c:val>
            <c:numRef>
              <c:f>'Chart_Data'!$E$5:$E$14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3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9162233cba34f33"/>
        </a:graphicData>
      </a:graphic>
    </xdr:graphicFrame>
    <xdr:clientData/>
  </xdr:twoCellAnchor>
  <xdr:twoCellAnchor>
    <xdr:from>
      <xdr:col>6</xdr:col>
      <xdr:colOff>0</xdr:colOff>
      <xdr:row>20</xdr:row>
      <xdr:rowOff>0</xdr:rowOff>
    </xdr:from>
    <xdr:to>
      <xdr:col>14</xdr:col>
      <xdr:colOff>0</xdr:colOff>
      <xdr:row>35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fc4480087a945d3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SummaryCoverageTable" displayName="SummaryCoverageTable" ref="A12:D18" headerRowCount="1">
  <x:tableColumns count="4">
    <x:tableColumn id="1" name="Validation Area"/>
    <x:tableColumn id="2" name="Status"/>
    <x:tableColumn id="3" name="Rows"/>
    <x:tableColumn id="4" name="Reviewer Meaning"/>
  </x:tableColumns>
  <x:tableStyleInfo name="TableStyleMedium1" showRowStripes="1"/>
</x:table>
</file>

<file path=xl/tables/table2.xml><?xml version="1.0" encoding="utf-8"?>
<x:table xmlns:x="http://schemas.openxmlformats.org/spreadsheetml/2006/main" id="2" name="ValidationEstimatesTable" displayName="ValidationEstimatesTable" ref="A4:P22" headerRowCount="1">
  <x:tableColumns count="16">
    <x:tableColumn id="1" name="case_id"/>
    <x:tableColumn id="2" name="test_type"/>
    <x:tableColumn id="3" name="array_mode"/>
    <x:tableColumn id="4" name="pzt_count"/>
    <x:tableColumn id="5" name="wiring_assumption"/>
    <x:tableColumn id="6" name="step_type"/>
    <x:tableColumn id="7" name="load_resistance_ohm"/>
    <x:tableColumn id="8" name="capacitance_f"/>
    <x:tableColumn id="9" name="initial_voltage_v"/>
    <x:tableColumn id="10" name="final_voltage_v"/>
    <x:tableColumn id="11" name="peak_voltage_v"/>
    <x:tableColumn id="12" name="pulse_duration_s"/>
    <x:tableColumn id="13" name="steps"/>
    <x:tableColumn id="14" name="estimated_energy_j"/>
    <x:tableColumn id="15" name="evidence_status"/>
    <x:tableColumn id="16" name="notes"/>
  </x:tableColumns>
  <x:tableStyleInfo name="TableStyleMedium1" showRowStripes="1"/>
</x:table>
</file>

<file path=xl/tables/table3.xml><?xml version="1.0" encoding="utf-8"?>
<x:table xmlns:x="http://schemas.openxmlformats.org/spreadsheetml/2006/main" id="3" name="VoltageChartTable" displayName="VoltageChartTable" ref="A4:B11" headerRowCount="1">
  <x:tableColumns count="2">
    <x:tableColumn id="1" name="Case"/>
    <x:tableColumn id="2" name="Peak voltage (V)"/>
  </x:tableColumns>
  <x:tableStyleInfo name="TableStyleMedium1" showRowStripes="1"/>
</x:table>
</file>

<file path=xl/tables/table4.xml><?xml version="1.0" encoding="utf-8"?>
<x:table xmlns:x="http://schemas.openxmlformats.org/spreadsheetml/2006/main" id="4" name="EnergyChartTable" displayName="EnergyChartTable" ref="D4:E14" headerRowCount="1">
  <x:tableColumns count="2">
    <x:tableColumn id="1" name="Case"/>
    <x:tableColumn id="2" name="Energy estimate (mJ)"/>
  </x:tableColumns>
  <x:tableStyleInfo name="TableStyleMedium1" showRowStripes="1"/>
</x:table>
</file>

<file path=xl/tables/table5.xml><?xml version="1.0" encoding="utf-8"?>
<x:table xmlns:x="http://schemas.openxmlformats.org/spreadsheetml/2006/main" id="5" name="DataDictionaryTable" displayName="DataDictionaryTable" ref="A4:B14" headerRowCount="1">
  <x:tableColumns count="2">
    <x:tableColumn id="1" name="Field"/>
    <x:tableColumn id="2" name="Meaning"/>
  </x:tableColumns>
  <x:tableStyleInfo name="TableStyleMedium1" showRowStripes="1"/>
</x:table>
</file>

<file path=xl/tables/table6.xml><?xml version="1.0" encoding="utf-8"?>
<x:table xmlns:x="http://schemas.openxmlformats.org/spreadsheetml/2006/main" id="6" name="RawMeasurementTemplate" displayName="RawMeasurementTemplate" ref="A4:O5" headerRowCount="1">
  <x:tableColumns count="15">
    <x:tableColumn id="1" name="trial_id"/>
    <x:tableColumn id="2" name="date"/>
    <x:tableColumn id="3" name="test_type"/>
    <x:tableColumn id="4" name="pzt_configuration"/>
    <x:tableColumn id="5" name="step_type"/>
    <x:tableColumn id="6" name="load_resistance_ohm"/>
    <x:tableColumn id="7" name="capacitance_f"/>
    <x:tableColumn id="8" name="initial_voltage_v"/>
    <x:tableColumn id="9" name="final_voltage_v"/>
    <x:tableColumn id="10" name="peak_voltage_v"/>
    <x:tableColumn id="11" name="pulse_duration_s"/>
    <x:tableColumn id="12" name="sampling_rate_hz"/>
    <x:tableColumn id="13" name="estimated_energy_j"/>
    <x:tableColumn id="14" name="measurement_status"/>
    <x:tableColumn id="15" name="notes"/>
  </x:tableColumns>
  <x:tableStyleInfo name="TableStyleMedium1" showRowStripes="1"/>
</x:table>
</file>

<file path=xl/tables/table7.xml><?xml version="1.0" encoding="utf-8"?>
<x:table xmlns:x="http://schemas.openxmlformats.org/spreadsheetml/2006/main" id="7" name="CleanedMeasurementTemplate" displayName="CleanedMeasurementTemplate" ref="A4:O5" headerRowCount="1">
  <x:tableColumns count="15">
    <x:tableColumn id="1" name="trial_id"/>
    <x:tableColumn id="2" name="date"/>
    <x:tableColumn id="3" name="test_type"/>
    <x:tableColumn id="4" name="pzt_configuration"/>
    <x:tableColumn id="5" name="step_type"/>
    <x:tableColumn id="6" name="load_resistance_ohm"/>
    <x:tableColumn id="7" name="capacitance_f"/>
    <x:tableColumn id="8" name="initial_voltage_v"/>
    <x:tableColumn id="9" name="final_voltage_v"/>
    <x:tableColumn id="10" name="peak_voltage_v"/>
    <x:tableColumn id="11" name="pulse_duration_s"/>
    <x:tableColumn id="12" name="sampling_rate_hz"/>
    <x:tableColumn id="13" name="estimated_energy_j"/>
    <x:tableColumn id="14" name="measurement_status"/>
    <x:tableColumn id="15" name="notes"/>
  </x:tableColumns>
  <x:tableStyleInfo name="TableStyleMedium1" showRowStripes="1"/>
</x:table>
</file>

<file path=xl/tables/table8.xml><?xml version="1.0" encoding="utf-8"?>
<x:table xmlns:x="http://schemas.openxmlformats.org/spreadsheetml/2006/main" id="8" name="PreliminaryEstimateTable" displayName="PreliminaryEstimateTable" ref="A4:F5" headerRowCount="1">
  <x:tableColumns count="6">
    <x:tableColumn id="1" name="source"/>
    <x:tableColumn id="2" name="estimate_type"/>
    <x:tableColumn id="3" name="energy_j"/>
    <x:tableColumn id="4" name="confidence"/>
    <x:tableColumn id="5" name="measurement_status"/>
    <x:tableColumn id="6" name="notes"/>
  </x:tableColumns>
  <x:tableStyleInfo name="TableStyleMedium1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3759b6801c54e0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88ef188a2ca4ee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febe07a620fc46e0" /><Relationship Type="http://schemas.openxmlformats.org/officeDocument/2006/relationships/table" Target="/xl/tables/table3.xml" Id="R746e5845e35f4c96" /><Relationship Type="http://schemas.openxmlformats.org/officeDocument/2006/relationships/table" Target="/xl/tables/table4.xml" Id="R5d832352f12b4ba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5.xml" Id="R64a7706cee95412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6.xml" Id="Re32f8f50f8a64cb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7.xml" Id="Ra8bd0a0eac18439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8.xml" Id="R7e477bb29d2f425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5.130001068115234" hidden="0" customWidth="1"/>
    <x:col min="2" max="2" width="47.75" hidden="0" customWidth="1"/>
    <x:col min="3" max="3" width="6.75" hidden="0" customWidth="1"/>
    <x:col min="4" max="4" width="34.130001068115234" hidden="0" customWidth="1"/>
  </x:cols>
  <x:sheetData>
    <x:row r="1">
      <x:c r="A1" s="2" t="str">
        <x:v>EcoStep Validation Workbook</x:v>
      </x:c>
    </x:row>
    <x:row r="2">
      <x:c r="A2" s="4" t="str">
        <x:v>Photo-informed estimates are clearly separated from real measured data.</x:v>
      </x:c>
    </x:row>
    <x:row r="4">
      <x:c r="A4" s="7" t="str">
        <x:v>Prototype</x:v>
      </x:c>
      <x:c r="B4" s="5" t="str">
        <x:v>16 PZT elements in a 4 x 4 footstep tile</x:v>
      </x:c>
    </x:row>
    <x:row r="5">
      <x:c r="A5" s="7" t="str">
        <x:v>Physical evidence</x:v>
      </x:c>
      <x:c r="B5" s="5" t="str">
        <x:v>Prototype and build-stage photos are included in the repository</x:v>
      </x:c>
    </x:row>
    <x:row r="6">
      <x:c r="A6" s="7" t="str">
        <x:v>Real measured rows</x:v>
      </x:c>
      <x:c r="B6" s="5" t="n">
        <x:v>0</x:v>
      </x:c>
    </x:row>
    <x:row r="7">
      <x:c r="A7" s="7" t="str">
        <x:v>Photo-informed estimate rows</x:v>
      </x:c>
      <x:c r="B7" s="5" t="n">
        <x:v>17</x:v>
      </x:c>
    </x:row>
    <x:row r="8">
      <x:c r="A8" s="7" t="str">
        <x:v>Preliminary memory estimate</x:v>
      </x:c>
      <x:c r="B8" s="5" t="str">
        <x:v>0.4 J, low confidence, not measured</x:v>
      </x:c>
    </x:row>
    <x:row r="9">
      <x:c r="A9" s="7" t="str">
        <x:v>Wiring status</x:v>
      </x:c>
      <x:c r="B9" s="5" t="str">
        <x:v>grouped_unknown until traced</x:v>
      </x:c>
    </x:row>
    <x:row r="10">
      <x:c r="A10" s="7" t="str">
        <x:v>Honesty rule</x:v>
      </x:c>
      <x:c r="B10" s="5" t="str">
        <x:v>Do not present estimates as lab measurements</x:v>
      </x:c>
    </x:row>
    <x:row r="12">
      <x:c r="A12" s="10" t="str">
        <x:v>Validation Area</x:v>
      </x:c>
      <x:c r="B12" s="10" t="str">
        <x:v>Status</x:v>
      </x:c>
      <x:c r="C12" s="10" t="str">
        <x:v>Rows</x:v>
      </x:c>
      <x:c r="D12" s="10" t="str">
        <x:v>Reviewer Meaning</x:v>
      </x:c>
    </x:row>
    <x:row r="13">
      <x:c r="A13" s="8" t="str">
        <x:v>Open-circuit voltage</x:v>
      </x:c>
      <x:c r="B13" s="8" t="str">
        <x:v>Estimated</x:v>
      </x:c>
      <x:c r="C13" s="8" t="n">
        <x:v>4</x:v>
      </x:c>
      <x:c r="D13" s="8" t="str">
        <x:v>Shows likely voltage pulse range</x:v>
      </x:c>
    </x:row>
    <x:row r="14">
      <x:c r="A14" s="8" t="str">
        <x:v>Rectified voltage</x:v>
      </x:c>
      <x:c r="B14" s="8" t="str">
        <x:v>Estimated</x:v>
      </x:c>
      <x:c r="C14" s="8" t="n">
        <x:v>3</x:v>
      </x:c>
      <x:c r="D14" s="8" t="str">
        <x:v>Shows likely DC-side voltage after losses</x:v>
      </x:c>
    </x:row>
    <x:row r="15">
      <x:c r="A15" s="8" t="str">
        <x:v>Capacitor charging</x:v>
      </x:c>
      <x:c r="B15" s="8" t="str">
        <x:v>Modeled</x:v>
      </x:c>
      <x:c r="C15" s="8" t="n">
        <x:v>3</x:v>
      </x:c>
      <x:c r="D15" s="8" t="str">
        <x:v>Shows aggregate stored-energy cases</x:v>
      </x:c>
    </x:row>
    <x:row r="16">
      <x:c r="A16" s="8" t="str">
        <x:v>Load resistor</x:v>
      </x:c>
      <x:c r="B16" s="8" t="str">
        <x:v>Modeled</x:v>
      </x:c>
      <x:c r="C16" s="8" t="n">
        <x:v>5</x:v>
      </x:c>
      <x:c r="D16" s="8" t="str">
        <x:v>Shows useful-energy estimates under known load</x:v>
      </x:c>
    </x:row>
    <x:row r="17">
      <x:c r="A17" s="8" t="str">
        <x:v>Single vs array</x:v>
      </x:c>
      <x:c r="B17" s="8" t="str">
        <x:v>Estimated</x:v>
      </x:c>
      <x:c r="C17" s="8" t="n">
        <x:v>2</x:v>
      </x:c>
      <x:c r="D17" s="8" t="str">
        <x:v>Shows why 16 PZT elements matter</x:v>
      </x:c>
    </x:row>
    <x:row r="18">
      <x:c r="A18" s="8" t="str">
        <x:v>Wiring topology</x:v>
      </x:c>
      <x:c r="B18" s="8" t="str">
        <x:v>Inferred</x:v>
      </x:c>
      <x:c r="C18" s="8" t="n">
        <x:v>1</x:v>
      </x:c>
      <x:c r="D18" s="8" t="str">
        <x:v>Kept conservative as grouped_unknown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53759b6801c54e0f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3" hidden="0" customWidth="1"/>
    <x:col min="2" max="2" width="14.75" hidden="0" customWidth="1"/>
    <x:col min="3" max="3" width="11.380000114440918" hidden="0" customWidth="1"/>
    <x:col min="4" max="4" width="10" hidden="0" customWidth="1"/>
    <x:col min="5" max="5" width="16.25" hidden="0" customWidth="1"/>
    <x:col min="6" max="6" width="9.880000114440918" hidden="0" customWidth="1"/>
    <x:col min="7" max="7" width="17.8799991607666" hidden="0" customWidth="1"/>
    <x:col min="8" max="8" width="12.630000114440918" hidden="0" customWidth="1"/>
    <x:col min="9" max="9" width="14.5" hidden="0" customWidth="1"/>
    <x:col min="10" max="10" width="13.630000114440918" hidden="0" customWidth="1"/>
    <x:col min="11" max="11" width="14" hidden="0" customWidth="1"/>
    <x:col min="12" max="12" width="15" hidden="0" customWidth="1"/>
    <x:col min="13" max="13" width="6.630000114440918" hidden="0" customWidth="1"/>
    <x:col min="14" max="14" width="16.75" hidden="0" customWidth="1"/>
    <x:col min="15" max="15" width="19.1299991607666" hidden="0" customWidth="1"/>
    <x:col min="16" max="16" width="98.12999725341797" hidden="0" customWidth="1"/>
  </x:cols>
  <x:sheetData>
    <x:row r="1">
      <x:c r="A1" s="2" t="str">
        <x:v>Photo-Informed Validation Estimates</x:v>
      </x:c>
    </x:row>
    <x:row r="2">
      <x:c r="A2" s="4" t="str">
        <x:v>Use evidence_status to distinguish estimates from real measurements.</x:v>
      </x:c>
    </x:row>
    <x:row r="4">
      <x:c r="A4" s="10" t="str">
        <x:v>case_id</x:v>
      </x:c>
      <x:c r="B4" s="10" t="str">
        <x:v>test_type</x:v>
      </x:c>
      <x:c r="C4" s="10" t="str">
        <x:v>array_mode</x:v>
      </x:c>
      <x:c r="D4" s="10" t="str">
        <x:v>pzt_count</x:v>
      </x:c>
      <x:c r="E4" s="10" t="str">
        <x:v>wiring_assumption</x:v>
      </x:c>
      <x:c r="F4" s="10" t="str">
        <x:v>step_type</x:v>
      </x:c>
      <x:c r="G4" s="10" t="str">
        <x:v>load_resistance_ohm</x:v>
      </x:c>
      <x:c r="H4" s="10" t="str">
        <x:v>capacitance_f</x:v>
      </x:c>
      <x:c r="I4" s="10" t="str">
        <x:v>initial_voltage_v</x:v>
      </x:c>
      <x:c r="J4" s="10" t="str">
        <x:v>final_voltage_v</x:v>
      </x:c>
      <x:c r="K4" s="10" t="str">
        <x:v>peak_voltage_v</x:v>
      </x:c>
      <x:c r="L4" s="10" t="str">
        <x:v>pulse_duration_s</x:v>
      </x:c>
      <x:c r="M4" s="10" t="str">
        <x:v>steps</x:v>
      </x:c>
      <x:c r="N4" s="10" t="str">
        <x:v>estimated_energy_j</x:v>
      </x:c>
      <x:c r="O4" s="10" t="str">
        <x:v>evidence_status</x:v>
      </x:c>
      <x:c r="P4" s="10" t="str">
        <x:v>notes</x:v>
      </x:c>
    </x:row>
    <x:row r="5">
      <x:c r="A5" s="8" t="str">
        <x:v>OC-SINGLE-01</x:v>
      </x:c>
      <x:c r="B5" s="8" t="str">
        <x:v>open_circuit_voltage</x:v>
      </x:c>
      <x:c r="C5" s="8" t="str">
        <x:v>single_pzt</x:v>
      </x:c>
      <x:c r="D5" s="8" t="n">
        <x:v>1</x:v>
      </x:c>
      <x:c r="E5" s="8" t="str">
        <x:v>single_disc</x:v>
      </x:c>
      <x:c r="F5" s="8" t="str">
        <x:v>normal</x:v>
      </x:c>
      <x:c r="G5" s="8"/>
      <x:c r="H5" s="8"/>
      <x:c r="I5" s="8"/>
      <x:c r="J5" s="8"/>
      <x:c r="K5" s="8" t="n">
        <x:v>3.46</x:v>
      </x:c>
      <x:c r="L5" s="8" t="n">
        <x:v>0.06</x:v>
      </x:c>
      <x:c r="M5" s="8"/>
      <x:c r="N5" s="8"/>
      <x:c r="O5" s="8" t="str">
        <x:v>simulated_photo_informed</x:v>
      </x:c>
      <x:c r="P5" s="8" t="str">
        <x:v>Anchored to the visible multimeter photo around 3.46; mode and circuit are not fully documented, so this is not treated as a final measurement.</x:v>
      </x:c>
    </x:row>
    <x:row r="6">
      <x:c r="A6" s="8" t="str">
        <x:v>OC-ARRAY-01</x:v>
      </x:c>
      <x:c r="B6" s="8" t="str">
        <x:v>open_circuit_voltage</x:v>
      </x:c>
      <x:c r="C6" s="8" t="str">
        <x:v>array_16_pzt</x:v>
      </x:c>
      <x:c r="D6" s="8" t="n">
        <x:v>16</x:v>
      </x:c>
      <x:c r="E6" s="8" t="str">
        <x:v>grouped_unknown</x:v>
      </x:c>
      <x:c r="F6" s="8" t="str">
        <x:v>light</x:v>
      </x:c>
      <x:c r="G6" s="8"/>
      <x:c r="H6" s="8"/>
      <x:c r="I6" s="8"/>
      <x:c r="J6" s="8"/>
      <x:c r="K6" s="8" t="n">
        <x:v>7.2</x:v>
      </x:c>
      <x:c r="L6" s="8" t="n">
        <x:v>0.07</x:v>
      </x:c>
      <x:c r="M6" s="8"/>
      <x:c r="N6" s="8"/>
      <x:c r="O6" s="8" t="str">
        <x:v>simulated_photo_informed</x:v>
      </x:c>
      <x:c r="P6" s="8" t="str">
        <x:v>Photo-informed estimate for light step open-circuit output.</x:v>
      </x:c>
    </x:row>
    <x:row r="7">
      <x:c r="A7" s="8" t="str">
        <x:v>OC-ARRAY-02</x:v>
      </x:c>
      <x:c r="B7" s="8" t="str">
        <x:v>open_circuit_voltage</x:v>
      </x:c>
      <x:c r="C7" s="8" t="str">
        <x:v>array_16_pzt</x:v>
      </x:c>
      <x:c r="D7" s="8" t="n">
        <x:v>16</x:v>
      </x:c>
      <x:c r="E7" s="8" t="str">
        <x:v>grouped_unknown</x:v>
      </x:c>
      <x:c r="F7" s="8" t="str">
        <x:v>normal</x:v>
      </x:c>
      <x:c r="G7" s="8"/>
      <x:c r="H7" s="8"/>
      <x:c r="I7" s="8"/>
      <x:c r="J7" s="8"/>
      <x:c r="K7" s="8" t="n">
        <x:v>14.8</x:v>
      </x:c>
      <x:c r="L7" s="8" t="n">
        <x:v>0.08</x:v>
      </x:c>
      <x:c r="M7" s="8"/>
      <x:c r="N7" s="8"/>
      <x:c r="O7" s="8" t="str">
        <x:v>simulated_photo_informed</x:v>
      </x:c>
      <x:c r="P7" s="8" t="str">
        <x:v>Photo-informed estimate for normal step open-circuit output.</x:v>
      </x:c>
    </x:row>
    <x:row r="8">
      <x:c r="A8" s="8" t="str">
        <x:v>OC-ARRAY-03</x:v>
      </x:c>
      <x:c r="B8" s="8" t="str">
        <x:v>open_circuit_voltage</x:v>
      </x:c>
      <x:c r="C8" s="8" t="str">
        <x:v>array_16_pzt</x:v>
      </x:c>
      <x:c r="D8" s="8" t="n">
        <x:v>16</x:v>
      </x:c>
      <x:c r="E8" s="8" t="str">
        <x:v>grouped_unknown</x:v>
      </x:c>
      <x:c r="F8" s="8" t="str">
        <x:v>strong</x:v>
      </x:c>
      <x:c r="G8" s="8"/>
      <x:c r="H8" s="8"/>
      <x:c r="I8" s="8"/>
      <x:c r="J8" s="8"/>
      <x:c r="K8" s="8" t="n">
        <x:v>22.5</x:v>
      </x:c>
      <x:c r="L8" s="8" t="n">
        <x:v>0.09</x:v>
      </x:c>
      <x:c r="M8" s="8"/>
      <x:c r="N8" s="8"/>
      <x:c r="O8" s="8" t="str">
        <x:v>simulated_photo_informed</x:v>
      </x:c>
      <x:c r="P8" s="8" t="str">
        <x:v>Photo-informed estimate for strong step open-circuit output; open circuit is not usable energy by itself.</x:v>
      </x:c>
    </x:row>
    <x:row r="9">
      <x:c r="A9" s="8" t="str">
        <x:v>RECT-ARRAY-01</x:v>
      </x:c>
      <x:c r="B9" s="8" t="str">
        <x:v>rectified_voltage</x:v>
      </x:c>
      <x:c r="C9" s="8" t="str">
        <x:v>array_16_pzt</x:v>
      </x:c>
      <x:c r="D9" s="8" t="n">
        <x:v>16</x:v>
      </x:c>
      <x:c r="E9" s="8" t="str">
        <x:v>grouped_unknown</x:v>
      </x:c>
      <x:c r="F9" s="8" t="str">
        <x:v>light</x:v>
      </x:c>
      <x:c r="G9" s="8"/>
      <x:c r="H9" s="8"/>
      <x:c r="I9" s="8"/>
      <x:c r="J9" s="8"/>
      <x:c r="K9" s="8" t="n">
        <x:v>4.8</x:v>
      </x:c>
      <x:c r="L9" s="8" t="n">
        <x:v>0.09</x:v>
      </x:c>
      <x:c r="M9" s="8"/>
      <x:c r="N9" s="8"/>
      <x:c r="O9" s="8" t="str">
        <x:v>simulated_photo_informed</x:v>
      </x:c>
      <x:c r="P9" s="8" t="str">
        <x:v>Estimated rectified peak after diode/conditioning losses.</x:v>
      </x:c>
    </x:row>
    <x:row r="10">
      <x:c r="A10" s="8" t="str">
        <x:v>RECT-ARRAY-02</x:v>
      </x:c>
      <x:c r="B10" s="8" t="str">
        <x:v>rectified_voltage</x:v>
      </x:c>
      <x:c r="C10" s="8" t="str">
        <x:v>array_16_pzt</x:v>
      </x:c>
      <x:c r="D10" s="8" t="n">
        <x:v>16</x:v>
      </x:c>
      <x:c r="E10" s="8" t="str">
        <x:v>grouped_unknown</x:v>
      </x:c>
      <x:c r="F10" s="8" t="str">
        <x:v>normal</x:v>
      </x:c>
      <x:c r="G10" s="8"/>
      <x:c r="H10" s="8"/>
      <x:c r="I10" s="8"/>
      <x:c r="J10" s="8"/>
      <x:c r="K10" s="8" t="n">
        <x:v>10.5</x:v>
      </x:c>
      <x:c r="L10" s="8" t="n">
        <x:v>0.1</x:v>
      </x:c>
      <x:c r="M10" s="8"/>
      <x:c r="N10" s="8"/>
      <x:c r="O10" s="8" t="str">
        <x:v>simulated_photo_informed</x:v>
      </x:c>
      <x:c r="P10" s="8" t="str">
        <x:v>Estimated rectified peak after diode/conditioning losses.</x:v>
      </x:c>
    </x:row>
    <x:row r="11">
      <x:c r="A11" s="8" t="str">
        <x:v>RECT-ARRAY-03</x:v>
      </x:c>
      <x:c r="B11" s="8" t="str">
        <x:v>rectified_voltage</x:v>
      </x:c>
      <x:c r="C11" s="8" t="str">
        <x:v>array_16_pzt</x:v>
      </x:c>
      <x:c r="D11" s="8" t="n">
        <x:v>16</x:v>
      </x:c>
      <x:c r="E11" s="8" t="str">
        <x:v>grouped_unknown</x:v>
      </x:c>
      <x:c r="F11" s="8" t="str">
        <x:v>strong</x:v>
      </x:c>
      <x:c r="G11" s="8"/>
      <x:c r="H11" s="8"/>
      <x:c r="I11" s="8"/>
      <x:c r="J11" s="8"/>
      <x:c r="K11" s="8" t="n">
        <x:v>16.2</x:v>
      </x:c>
      <x:c r="L11" s="8" t="n">
        <x:v>0.11</x:v>
      </x:c>
      <x:c r="M11" s="8"/>
      <x:c r="N11" s="8"/>
      <x:c r="O11" s="8" t="str">
        <x:v>simulated_photo_informed</x:v>
      </x:c>
      <x:c r="P11" s="8" t="str">
        <x:v>Estimated rectified peak after diode/conditioning losses.</x:v>
      </x:c>
    </x:row>
    <x:row r="12">
      <x:c r="A12" s="8" t="str">
        <x:v>CAP-ARRAY-01</x:v>
      </x:c>
      <x:c r="B12" s="8" t="str">
        <x:v>capacitor_charging</x:v>
      </x:c>
      <x:c r="C12" s="8" t="str">
        <x:v>array_16_pzt</x:v>
      </x:c>
      <x:c r="D12" s="8" t="n">
        <x:v>16</x:v>
      </x:c>
      <x:c r="E12" s="8" t="str">
        <x:v>grouped_unknown</x:v>
      </x:c>
      <x:c r="F12" s="8" t="str">
        <x:v>normal</x:v>
      </x:c>
      <x:c r="G12" s="8"/>
      <x:c r="H12" s="8" t="n">
        <x:v>0.001</x:v>
      </x:c>
      <x:c r="I12" s="8" t="n">
        <x:v>0</x:v>
      </x:c>
      <x:c r="J12" s="8" t="n">
        <x:v>5.2</x:v>
      </x:c>
      <x:c r="K12" s="8"/>
      <x:c r="L12" s="8" t="n">
        <x:v>0.08</x:v>
      </x:c>
      <x:c r="M12" s="8" t="n">
        <x:v>25</x:v>
      </x:c>
      <x:c r="N12" s="8" t="n">
        <x:v>0.01352</x:v>
      </x:c>
      <x:c r="O12" s="8" t="str">
        <x:v>simulated_photo_informed</x:v>
      </x:c>
      <x:c r="P12" s="8" t="str">
        <x:v>1000 uF capacitor model: E = 0.5*C*(Vf^2 - Vi^2).</x:v>
      </x:c>
    </x:row>
    <x:row r="13">
      <x:c r="A13" s="8" t="str">
        <x:v>CAP-ARRAY-02</x:v>
      </x:c>
      <x:c r="B13" s="8" t="str">
        <x:v>capacitor_charging</x:v>
      </x:c>
      <x:c r="C13" s="8" t="str">
        <x:v>array_16_pzt</x:v>
      </x:c>
      <x:c r="D13" s="8" t="n">
        <x:v>16</x:v>
      </x:c>
      <x:c r="E13" s="8" t="str">
        <x:v>grouped_unknown</x:v>
      </x:c>
      <x:c r="F13" s="8" t="str">
        <x:v>strong</x:v>
      </x:c>
      <x:c r="G13" s="8"/>
      <x:c r="H13" s="8" t="n">
        <x:v>0.001</x:v>
      </x:c>
      <x:c r="I13" s="8" t="n">
        <x:v>0</x:v>
      </x:c>
      <x:c r="J13" s="8" t="n">
        <x:v>8.7</x:v>
      </x:c>
      <x:c r="K13" s="8"/>
      <x:c r="L13" s="8" t="n">
        <x:v>0.09</x:v>
      </x:c>
      <x:c r="M13" s="8" t="n">
        <x:v>50</x:v>
      </x:c>
      <x:c r="N13" s="8" t="n">
        <x:v>0.037845</x:v>
      </x:c>
      <x:c r="O13" s="8" t="str">
        <x:v>simulated_photo_informed</x:v>
      </x:c>
      <x:c r="P13" s="8" t="str">
        <x:v>1000 uF capacitor model over repeated strong steps.</x:v>
      </x:c>
    </x:row>
    <x:row r="14">
      <x:c r="A14" s="8" t="str">
        <x:v>CAP-ARRAY-03</x:v>
      </x:c>
      <x:c r="B14" s="8" t="str">
        <x:v>capacitor_charging</x:v>
      </x:c>
      <x:c r="C14" s="8" t="str">
        <x:v>array_16_pzt</x:v>
      </x:c>
      <x:c r="D14" s="8" t="n">
        <x:v>16</x:v>
      </x:c>
      <x:c r="E14" s="8" t="str">
        <x:v>grouped_unknown</x:v>
      </x:c>
      <x:c r="F14" s="8" t="str">
        <x:v>mixed</x:v>
      </x:c>
      <x:c r="G14" s="8"/>
      <x:c r="H14" s="8" t="n">
        <x:v>0.001</x:v>
      </x:c>
      <x:c r="I14" s="8" t="n">
        <x:v>0</x:v>
      </x:c>
      <x:c r="J14" s="8" t="n">
        <x:v>15</x:v>
      </x:c>
      <x:c r="K14" s="8"/>
      <x:c r="L14" s="8" t="n">
        <x:v>0.09</x:v>
      </x:c>
      <x:c r="M14" s="8" t="n">
        <x:v>100</x:v>
      </x:c>
      <x:c r="N14" s="8" t="n">
        <x:v>0.1125</x:v>
      </x:c>
      <x:c r="O14" s="8" t="str">
        <x:v>simulated_photo_informed</x:v>
      </x:c>
      <x:c r="P14" s="8" t="str">
        <x:v>Multi-step aggregate model; still below the remembered 0.4 J estimate.</x:v>
      </x:c>
    </x:row>
    <x:row r="15">
      <x:c r="A15" s="8" t="str">
        <x:v>LOAD-SINGLE-01</x:v>
      </x:c>
      <x:c r="B15" s="8" t="str">
        <x:v>load_resistor_test</x:v>
      </x:c>
      <x:c r="C15" s="8" t="str">
        <x:v>single_pzt</x:v>
      </x:c>
      <x:c r="D15" s="8" t="n">
        <x:v>1</x:v>
      </x:c>
      <x:c r="E15" s="8" t="str">
        <x:v>single_disc</x:v>
      </x:c>
      <x:c r="F15" s="8" t="str">
        <x:v>normal</x:v>
      </x:c>
      <x:c r="G15" s="8" t="n">
        <x:v>10000</x:v>
      </x:c>
      <x:c r="H15" s="8"/>
      <x:c r="I15" s="8"/>
      <x:c r="J15" s="8"/>
      <x:c r="K15" s="8" t="n">
        <x:v>1.8</x:v>
      </x:c>
      <x:c r="L15" s="8" t="n">
        <x:v>0.05</x:v>
      </x:c>
      <x:c r="M15" s="8"/>
      <x:c r="N15" s="8" t="n">
        <x:v>0.0000162</x:v>
      </x:c>
      <x:c r="O15" s="8" t="str">
        <x:v>simulated_photo_informed</x:v>
      </x:c>
      <x:c r="P15" s="8" t="str">
        <x:v>Single PZT across 10 kOhm using rough peak estimate.</x:v>
      </x:c>
    </x:row>
    <x:row r="16">
      <x:c r="A16" s="8" t="str">
        <x:v>LOAD-ARRAY-01</x:v>
      </x:c>
      <x:c r="B16" s="8" t="str">
        <x:v>load_resistor_test</x:v>
      </x:c>
      <x:c r="C16" s="8" t="str">
        <x:v>array_16_pzt</x:v>
      </x:c>
      <x:c r="D16" s="8" t="n">
        <x:v>16</x:v>
      </x:c>
      <x:c r="E16" s="8" t="str">
        <x:v>grouped_unknown</x:v>
      </x:c>
      <x:c r="F16" s="8" t="str">
        <x:v>normal</x:v>
      </x:c>
      <x:c r="G16" s="8" t="n">
        <x:v>1000</x:v>
      </x:c>
      <x:c r="H16" s="8"/>
      <x:c r="I16" s="8"/>
      <x:c r="J16" s="8"/>
      <x:c r="K16" s="8" t="n">
        <x:v>1.6</x:v>
      </x:c>
      <x:c r="L16" s="8" t="n">
        <x:v>0.08</x:v>
      </x:c>
      <x:c r="M16" s="8"/>
      <x:c r="N16" s="8" t="n">
        <x:v>0.0002048</x:v>
      </x:c>
      <x:c r="O16" s="8" t="str">
        <x:v>simulated_photo_informed</x:v>
      </x:c>
      <x:c r="P16" s="8" t="str">
        <x:v>Lower voltage but higher current load case.</x:v>
      </x:c>
    </x:row>
    <x:row r="17">
      <x:c r="A17" s="8" t="str">
        <x:v>LOAD-ARRAY-02</x:v>
      </x:c>
      <x:c r="B17" s="8" t="str">
        <x:v>load_resistor_test</x:v>
      </x:c>
      <x:c r="C17" s="8" t="str">
        <x:v>array_16_pzt</x:v>
      </x:c>
      <x:c r="D17" s="8" t="n">
        <x:v>16</x:v>
      </x:c>
      <x:c r="E17" s="8" t="str">
        <x:v>grouped_unknown</x:v>
      </x:c>
      <x:c r="F17" s="8" t="str">
        <x:v>normal</x:v>
      </x:c>
      <x:c r="G17" s="8" t="n">
        <x:v>10000</x:v>
      </x:c>
      <x:c r="H17" s="8"/>
      <x:c r="I17" s="8"/>
      <x:c r="J17" s="8"/>
      <x:c r="K17" s="8" t="n">
        <x:v>5.6</x:v>
      </x:c>
      <x:c r="L17" s="8" t="n">
        <x:v>0.08</x:v>
      </x:c>
      <x:c r="M17" s="8"/>
      <x:c r="N17" s="8" t="n">
        <x:v>0.00025088</x:v>
      </x:c>
      <x:c r="O17" s="8" t="str">
        <x:v>simulated_photo_informed</x:v>
      </x:c>
      <x:c r="P17" s="8" t="str">
        <x:v>Balanced load case for estimated energy per step.</x:v>
      </x:c>
    </x:row>
    <x:row r="18">
      <x:c r="A18" s="8" t="str">
        <x:v>LOAD-ARRAY-03</x:v>
      </x:c>
      <x:c r="B18" s="8" t="str">
        <x:v>load_resistor_test</x:v>
      </x:c>
      <x:c r="C18" s="8" t="str">
        <x:v>array_16_pzt</x:v>
      </x:c>
      <x:c r="D18" s="8" t="n">
        <x:v>16</x:v>
      </x:c>
      <x:c r="E18" s="8" t="str">
        <x:v>grouped_unknown</x:v>
      </x:c>
      <x:c r="F18" s="8" t="str">
        <x:v>strong</x:v>
      </x:c>
      <x:c r="G18" s="8" t="n">
        <x:v>10000</x:v>
      </x:c>
      <x:c r="H18" s="8"/>
      <x:c r="I18" s="8"/>
      <x:c r="J18" s="8"/>
      <x:c r="K18" s="8" t="n">
        <x:v>8.9</x:v>
      </x:c>
      <x:c r="L18" s="8" t="n">
        <x:v>0.09</x:v>
      </x:c>
      <x:c r="M18" s="8"/>
      <x:c r="N18" s="8" t="n">
        <x:v>0.00071289</x:v>
      </x:c>
      <x:c r="O18" s="8" t="str">
        <x:v>simulated_photo_informed</x:v>
      </x:c>
      <x:c r="P18" s="8" t="str">
        <x:v>Strong step load case for estimated energy per step.</x:v>
      </x:c>
    </x:row>
    <x:row r="19">
      <x:c r="A19" s="8" t="str">
        <x:v>LOAD-ARRAY-04</x:v>
      </x:c>
      <x:c r="B19" s="8" t="str">
        <x:v>load_resistor_test</x:v>
      </x:c>
      <x:c r="C19" s="8" t="str">
        <x:v>array_16_pzt</x:v>
      </x:c>
      <x:c r="D19" s="8" t="n">
        <x:v>16</x:v>
      </x:c>
      <x:c r="E19" s="8" t="str">
        <x:v>grouped_unknown</x:v>
      </x:c>
      <x:c r="F19" s="8" t="str">
        <x:v>normal</x:v>
      </x:c>
      <x:c r="G19" s="8" t="n">
        <x:v>100000</x:v>
      </x:c>
      <x:c r="H19" s="8"/>
      <x:c r="I19" s="8"/>
      <x:c r="J19" s="8"/>
      <x:c r="K19" s="8" t="n">
        <x:v>11.2</x:v>
      </x:c>
      <x:c r="L19" s="8" t="n">
        <x:v>0.08</x:v>
      </x:c>
      <x:c r="M19" s="8"/>
      <x:c r="N19" s="8" t="n">
        <x:v>0.000100352</x:v>
      </x:c>
      <x:c r="O19" s="8" t="str">
        <x:v>simulated_photo_informed</x:v>
      </x:c>
      <x:c r="P19" s="8" t="str">
        <x:v>Higher voltage but lower current load case.</x:v>
      </x:c>
    </x:row>
    <x:row r="20">
      <x:c r="A20" s="8" t="str">
        <x:v>COMPARE-01</x:v>
      </x:c>
      <x:c r="B20" s="8" t="str">
        <x:v>single_vs_array</x:v>
      </x:c>
      <x:c r="C20" s="8" t="str">
        <x:v>single_pzt</x:v>
      </x:c>
      <x:c r="D20" s="8" t="n">
        <x:v>1</x:v>
      </x:c>
      <x:c r="E20" s="8" t="str">
        <x:v>single_disc</x:v>
      </x:c>
      <x:c r="F20" s="8" t="str">
        <x:v>normal</x:v>
      </x:c>
      <x:c r="G20" s="8" t="n">
        <x:v>10000</x:v>
      </x:c>
      <x:c r="H20" s="8"/>
      <x:c r="I20" s="8"/>
      <x:c r="J20" s="8"/>
      <x:c r="K20" s="8" t="n">
        <x:v>1.8</x:v>
      </x:c>
      <x:c r="L20" s="8" t="n">
        <x:v>0.05</x:v>
      </x:c>
      <x:c r="M20" s="8"/>
      <x:c r="N20" s="8" t="n">
        <x:v>0.0000162</x:v>
      </x:c>
      <x:c r="O20" s="8" t="str">
        <x:v>simulated_photo_informed</x:v>
      </x:c>
      <x:c r="P20" s="8" t="str">
        <x:v>Single PZT comparison baseline.</x:v>
      </x:c>
    </x:row>
    <x:row r="21">
      <x:c r="A21" s="8" t="str">
        <x:v>COMPARE-02</x:v>
      </x:c>
      <x:c r="B21" s="8" t="str">
        <x:v>single_vs_array</x:v>
      </x:c>
      <x:c r="C21" s="8" t="str">
        <x:v>array_16_pzt</x:v>
      </x:c>
      <x:c r="D21" s="8" t="n">
        <x:v>16</x:v>
      </x:c>
      <x:c r="E21" s="8" t="str">
        <x:v>grouped_unknown</x:v>
      </x:c>
      <x:c r="F21" s="8" t="str">
        <x:v>normal</x:v>
      </x:c>
      <x:c r="G21" s="8" t="n">
        <x:v>10000</x:v>
      </x:c>
      <x:c r="H21" s="8"/>
      <x:c r="I21" s="8"/>
      <x:c r="J21" s="8"/>
      <x:c r="K21" s="8" t="n">
        <x:v>5.6</x:v>
      </x:c>
      <x:c r="L21" s="8" t="n">
        <x:v>0.08</x:v>
      </x:c>
      <x:c r="M21" s="8"/>
      <x:c r="N21" s="8" t="n">
        <x:v>0.00025088</x:v>
      </x:c>
      <x:c r="O21" s="8" t="str">
        <x:v>simulated_photo_informed</x:v>
      </x:c>
      <x:c r="P21" s="8" t="str">
        <x:v>16-element array comparison case; improvement depends on wiring and force distribution.</x:v>
      </x:c>
    </x:row>
    <x:row r="22">
      <x:c r="A22" s="8" t="str">
        <x:v>TOPO-01</x:v>
      </x:c>
      <x:c r="B22" s="8" t="str">
        <x:v>wiring_topology</x:v>
      </x:c>
      <x:c r="C22" s="8" t="str">
        <x:v>array_16_pzt</x:v>
      </x:c>
      <x:c r="D22" s="8" t="n">
        <x:v>16</x:v>
      </x:c>
      <x:c r="E22" s="8" t="str">
        <x:v>grouped_unknown</x:v>
      </x:c>
      <x:c r="F22" s="8"/>
      <x:c r="G22" s="8"/>
      <x:c r="H22" s="8"/>
      <x:c r="I22" s="8"/>
      <x:c r="J22" s="8"/>
      <x:c r="K22" s="8"/>
      <x:c r="L22" s="8"/>
      <x:c r="M22" s="8"/>
      <x:c r="N22" s="8"/>
      <x:c r="O22" s="8" t="str">
        <x:v>inferred_from_photos</x:v>
      </x:c>
      <x:c r="P22" s="8" t="str">
        <x:v>Exact series/parallel topology is not visible enough to confirm. The simulation uses grouped_unknown as a conservative label.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788ef188a2ca4ee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.6299991607666" hidden="0" customWidth="1"/>
    <x:col min="2" max="2" width="14.25" hidden="0" customWidth="1"/>
    <x:col min="4" max="4" width="19.25" hidden="0" customWidth="1"/>
    <x:col min="5" max="5" width="17.5" hidden="0" customWidth="1"/>
  </x:cols>
  <x:sheetData>
    <x:row r="1">
      <x:c r="A1" s="2" t="str">
        <x:v>Chart Data</x:v>
      </x:c>
    </x:row>
    <x:row r="2">
      <x:c r="A2" s="4" t="str">
        <x:v>Helper ranges for the workbook charts.</x:v>
      </x:c>
    </x:row>
    <x:row r="4">
      <x:c r="A4" s="10" t="str">
        <x:v>Case</x:v>
      </x:c>
      <x:c r="B4" s="10" t="str">
        <x:v>Peak voltage (V)</x:v>
      </x:c>
      <x:c r="D4" s="10" t="str">
        <x:v>Case</x:v>
      </x:c>
      <x:c r="E4" s="10" t="str">
        <x:v>Energy estimate (mJ)</x:v>
      </x:c>
    </x:row>
    <x:row r="5">
      <x:c r="A5" s="8" t="str">
        <x:v>open circuit voltage / normal</x:v>
      </x:c>
      <x:c r="B5" s="8" t="n">
        <x:v>3.46</x:v>
      </x:c>
      <x:c r="D5" s="8" t="str">
        <x:v>capacitor charging / normal</x:v>
      </x:c>
      <x:c r="E5" s="8" t="n">
        <x:v>13.520000000000001</x:v>
      </x:c>
    </x:row>
    <x:row r="6">
      <x:c r="A6" s="8" t="str">
        <x:v>open circuit voltage / light</x:v>
      </x:c>
      <x:c r="B6" s="8" t="n">
        <x:v>7.2</x:v>
      </x:c>
      <x:c r="D6" s="8" t="str">
        <x:v>capacitor charging / strong</x:v>
      </x:c>
      <x:c r="E6" s="8" t="n">
        <x:v>37.845</x:v>
      </x:c>
    </x:row>
    <x:row r="7">
      <x:c r="A7" s="8" t="str">
        <x:v>open circuit voltage / normal</x:v>
      </x:c>
      <x:c r="B7" s="8" t="n">
        <x:v>14.8</x:v>
      </x:c>
      <x:c r="D7" s="8" t="str">
        <x:v>capacitor charging / mixed</x:v>
      </x:c>
      <x:c r="E7" s="8" t="n">
        <x:v>112.5</x:v>
      </x:c>
    </x:row>
    <x:row r="8">
      <x:c r="A8" s="8" t="str">
        <x:v>open circuit voltage / strong</x:v>
      </x:c>
      <x:c r="B8" s="8" t="n">
        <x:v>22.5</x:v>
      </x:c>
      <x:c r="D8" s="8" t="str">
        <x:v>load resistor test / normal</x:v>
      </x:c>
      <x:c r="E8" s="8" t="n">
        <x:v>0.0162</x:v>
      </x:c>
    </x:row>
    <x:row r="9">
      <x:c r="A9" s="8" t="str">
        <x:v>rectified voltage / light</x:v>
      </x:c>
      <x:c r="B9" s="8" t="n">
        <x:v>4.8</x:v>
      </x:c>
      <x:c r="D9" s="8" t="str">
        <x:v>load resistor test / normal</x:v>
      </x:c>
      <x:c r="E9" s="8" t="n">
        <x:v>0.20479999999999998</x:v>
      </x:c>
    </x:row>
    <x:row r="10">
      <x:c r="A10" s="8" t="str">
        <x:v>rectified voltage / normal</x:v>
      </x:c>
      <x:c r="B10" s="8" t="n">
        <x:v>10.5</x:v>
      </x:c>
      <x:c r="D10" s="8" t="str">
        <x:v>load resistor test / normal</x:v>
      </x:c>
      <x:c r="E10" s="8" t="n">
        <x:v>0.25088</x:v>
      </x:c>
    </x:row>
    <x:row r="11">
      <x:c r="A11" s="8" t="str">
        <x:v>rectified voltage / strong</x:v>
      </x:c>
      <x:c r="B11" s="8" t="n">
        <x:v>16.2</x:v>
      </x:c>
      <x:c r="D11" s="8" t="str">
        <x:v>load resistor test / strong</x:v>
      </x:c>
      <x:c r="E11" s="8" t="n">
        <x:v>0.71289</x:v>
      </x:c>
    </x:row>
    <x:row r="12">
      <x:c r="D12" s="8" t="str">
        <x:v>load resistor test / normal</x:v>
      </x:c>
      <x:c r="E12" s="8" t="n">
        <x:v>0.10035200000000001</x:v>
      </x:c>
    </x:row>
    <x:row r="13">
      <x:c r="D13" s="8" t="str">
        <x:v>single vs array / normal</x:v>
      </x:c>
      <x:c r="E13" s="8" t="n">
        <x:v>0.0162</x:v>
      </x:c>
    </x:row>
    <x:row r="14">
      <x:c r="D14" s="8" t="str">
        <x:v>single vs array / normal</x:v>
      </x:c>
      <x:c r="E14" s="8" t="n">
        <x:v>0.25088</x:v>
      </x:c>
    </x:row>
  </x:sheetData>
  <x:mergeCells>
    <x:mergeCell ref="A1:H1"/>
    <x:mergeCell ref="A2:H2"/>
  </x:mergeCells>
  <x:pageMargins left="0.7" right="0.7" top="0.75" bottom="0.75" header="0.3" footer="0.3"/>
  <x:drawing xmlns:r="http://schemas.openxmlformats.org/officeDocument/2006/relationships" r:id="Rfebe07a620fc46e0"/>
  <x:tableParts count="2">
    <x:tablePart xmlns:r="http://schemas.openxmlformats.org/officeDocument/2006/relationships" r:id="R746e5845e35f4c96"/>
    <x:tablePart xmlns:r="http://schemas.openxmlformats.org/officeDocument/2006/relationships" r:id="R5d832352f12b4ba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.25" hidden="0" customWidth="1"/>
    <x:col min="2" max="2" width="78.37999725341797" hidden="0" customWidth="1"/>
  </x:cols>
  <x:sheetData>
    <x:row r="1">
      <x:c r="A1" s="2" t="str">
        <x:v>Data Dictionary</x:v>
      </x:c>
    </x:row>
    <x:row r="2">
      <x:c r="A2" s="4" t="str">
        <x:v>Column meanings and evidence status labels.</x:v>
      </x:c>
    </x:row>
    <x:row r="4">
      <x:c r="A4" s="10" t="str">
        <x:v>Field</x:v>
      </x:c>
      <x:c r="B4" s="10" t="str">
        <x:v>Meaning</x:v>
      </x:c>
    </x:row>
    <x:row r="5">
      <x:c r="A5" s="8" t="str">
        <x:v>case_id / trial_id</x:v>
      </x:c>
      <x:c r="B5" s="8" t="str">
        <x:v>Unique identifier for an estimate case or measured trial</x:v>
      </x:c>
    </x:row>
    <x:row r="6">
      <x:c r="A6" s="8" t="str">
        <x:v>test_type</x:v>
      </x:c>
      <x:c r="B6" s="8" t="str">
        <x:v>open_circuit_voltage, rectified_voltage, capacitor_charging, load_resistor_test, single_vs_array, or wiring_topology</x:v>
      </x:c>
    </x:row>
    <x:row r="7">
      <x:c r="A7" s="8" t="str">
        <x:v>array_mode</x:v>
      </x:c>
      <x:c r="B7" s="8" t="str">
        <x:v>single_pzt or array_16_pzt</x:v>
      </x:c>
    </x:row>
    <x:row r="8">
      <x:c r="A8" s="8" t="str">
        <x:v>wiring_assumption</x:v>
      </x:c>
      <x:c r="B8" s="8" t="str">
        <x:v>single_disc or grouped_unknown</x:v>
      </x:c>
    </x:row>
    <x:row r="9">
      <x:c r="A9" s="8" t="str">
        <x:v>load_resistance_ohm</x:v>
      </x:c>
      <x:c r="B9" s="8" t="str">
        <x:v>Known resistor value used for load testing</x:v>
      </x:c>
    </x:row>
    <x:row r="10">
      <x:c r="A10" s="8" t="str">
        <x:v>capacitance_f</x:v>
      </x:c>
      <x:c r="B10" s="8" t="str">
        <x:v>Known capacitor value used for capacitor charging</x:v>
      </x:c>
    </x:row>
    <x:row r="11">
      <x:c r="A11" s="8" t="str">
        <x:v>estimated_energy_j</x:v>
      </x:c>
      <x:c r="B11" s="8" t="str">
        <x:v>Energy estimate in joules from the documented equation</x:v>
      </x:c>
    </x:row>
    <x:row r="12">
      <x:c r="A12" s="8" t="str">
        <x:v>measurement_status</x:v>
      </x:c>
      <x:c r="B12" s="8" t="str">
        <x:v>placeholder, measured, not_measured</x:v>
      </x:c>
    </x:row>
    <x:row r="13">
      <x:c r="A13" s="8" t="str">
        <x:v>evidence_status</x:v>
      </x:c>
      <x:c r="B13" s="8" t="str">
        <x:v>simulated_photo_informed or inferred_from_photos</x:v>
      </x:c>
    </x:row>
    <x:row r="14">
      <x:c r="A14" s="8" t="str">
        <x:v>notes</x:v>
      </x:c>
      <x:c r="B14" s="8" t="str">
        <x:v>Assumptions and caveats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64a7706cee95412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9.5" hidden="0" customWidth="1"/>
    <x:col min="2" max="2" width="6.130000114440918" hidden="0" customWidth="1"/>
    <x:col min="3" max="3" width="9.630000114440918" hidden="0" customWidth="1"/>
    <x:col min="4" max="4" width="15.25" hidden="0" customWidth="1"/>
    <x:col min="5" max="5" width="9.880000114440918" hidden="0" customWidth="1"/>
    <x:col min="6" max="6" width="17.8799991607666" hidden="0" customWidth="1"/>
    <x:col min="7" max="7" width="12.630000114440918" hidden="0" customWidth="1"/>
    <x:col min="8" max="8" width="14.5" hidden="0" customWidth="1"/>
    <x:col min="9" max="9" width="13.630000114440918" hidden="0" customWidth="1"/>
    <x:col min="10" max="10" width="14" hidden="0" customWidth="1"/>
    <x:col min="11" max="11" width="15" hidden="0" customWidth="1"/>
    <x:col min="12" max="12" width="15.25" hidden="0" customWidth="1"/>
    <x:col min="13" max="13" width="16.75" hidden="0" customWidth="1"/>
    <x:col min="14" max="14" width="17.6299991607666" hidden="0" customWidth="1"/>
    <x:col min="15" max="15" width="56.130001068115234" hidden="0" customWidth="1"/>
  </x:cols>
  <x:sheetData>
    <x:row r="1">
      <x:c r="A1" s="2" t="str">
        <x:v>Raw Measurement Template</x:v>
      </x:c>
    </x:row>
    <x:row r="2">
      <x:c r="A2" s="4" t="str">
        <x:v>Replace placeholder rows only after controlled tests.</x:v>
      </x:c>
    </x:row>
    <x:row r="4">
      <x:c r="A4" s="10" t="str">
        <x:v>trial_id</x:v>
      </x:c>
      <x:c r="B4" s="10" t="str">
        <x:v>date</x:v>
      </x:c>
      <x:c r="C4" s="10" t="str">
        <x:v>test_type</x:v>
      </x:c>
      <x:c r="D4" s="10" t="str">
        <x:v>pzt_configuration</x:v>
      </x:c>
      <x:c r="E4" s="10" t="str">
        <x:v>step_type</x:v>
      </x:c>
      <x:c r="F4" s="10" t="str">
        <x:v>load_resistance_ohm</x:v>
      </x:c>
      <x:c r="G4" s="10" t="str">
        <x:v>capacitance_f</x:v>
      </x:c>
      <x:c r="H4" s="10" t="str">
        <x:v>initial_voltage_v</x:v>
      </x:c>
      <x:c r="I4" s="10" t="str">
        <x:v>final_voltage_v</x:v>
      </x:c>
      <x:c r="J4" s="10" t="str">
        <x:v>peak_voltage_v</x:v>
      </x:c>
      <x:c r="K4" s="10" t="str">
        <x:v>pulse_duration_s</x:v>
      </x:c>
      <x:c r="L4" s="10" t="str">
        <x:v>sampling_rate_hz</x:v>
      </x:c>
      <x:c r="M4" s="10" t="str">
        <x:v>estimated_energy_j</x:v>
      </x:c>
      <x:c r="N4" s="10" t="str">
        <x:v>measurement_status</x:v>
      </x:c>
      <x:c r="O4" s="10" t="str">
        <x:v>notes</x:v>
      </x:c>
    </x:row>
    <x:row r="5">
      <x:c r="A5" s="8" t="str">
        <x:v>TEMPLATE</x:v>
      </x:c>
      <x:c r="B5" s="8"/>
      <x:c r="C5" s="8"/>
      <x:c r="D5" s="8"/>
      <x:c r="E5" s="8"/>
      <x:c r="F5" s="8"/>
      <x:c r="G5" s="8"/>
      <x:c r="H5" s="8"/>
      <x:c r="I5" s="8"/>
      <x:c r="J5" s="8"/>
      <x:c r="K5" s="8"/>
      <x:c r="L5" s="8"/>
      <x:c r="M5" s="8"/>
      <x:c r="N5" s="8" t="str">
        <x:v>placeholder</x:v>
      </x:c>
      <x:c r="O5" s="8" t="str">
        <x:v>Replace this row with real measured trials. Do not use placeholder rows as results.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e32f8f50f8a64cb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1.630001068115234" hidden="0" customWidth="1"/>
    <x:col min="2" max="2" width="6.130000114440918" hidden="0" customWidth="1"/>
    <x:col min="3" max="3" width="9.630000114440918" hidden="0" customWidth="1"/>
    <x:col min="4" max="4" width="15.25" hidden="0" customWidth="1"/>
    <x:col min="5" max="5" width="9.880000114440918" hidden="0" customWidth="1"/>
    <x:col min="6" max="6" width="17.8799991607666" hidden="0" customWidth="1"/>
    <x:col min="7" max="7" width="12.630000114440918" hidden="0" customWidth="1"/>
    <x:col min="8" max="8" width="14.5" hidden="0" customWidth="1"/>
    <x:col min="9" max="9" width="13.630000114440918" hidden="0" customWidth="1"/>
    <x:col min="10" max="10" width="14" hidden="0" customWidth="1"/>
    <x:col min="11" max="11" width="15" hidden="0" customWidth="1"/>
    <x:col min="12" max="12" width="15.25" hidden="0" customWidth="1"/>
    <x:col min="13" max="13" width="16.75" hidden="0" customWidth="1"/>
    <x:col min="14" max="14" width="17.6299991607666" hidden="0" customWidth="1"/>
    <x:col min="15" max="15" width="44.75" hidden="0" customWidth="1"/>
  </x:cols>
  <x:sheetData>
    <x:row r="1">
      <x:c r="A1" s="2" t="str">
        <x:v>Cleaned Measurement Template</x:v>
      </x:c>
    </x:row>
    <x:row r="2">
      <x:c r="A2" s="4" t="str">
        <x:v>Processed rows should come from raw measured trials.</x:v>
      </x:c>
    </x:row>
    <x:row r="4">
      <x:c r="A4" s="10" t="str">
        <x:v>trial_id</x:v>
      </x:c>
      <x:c r="B4" s="10" t="str">
        <x:v>date</x:v>
      </x:c>
      <x:c r="C4" s="10" t="str">
        <x:v>test_type</x:v>
      </x:c>
      <x:c r="D4" s="10" t="str">
        <x:v>pzt_configuration</x:v>
      </x:c>
      <x:c r="E4" s="10" t="str">
        <x:v>step_type</x:v>
      </x:c>
      <x:c r="F4" s="10" t="str">
        <x:v>load_resistance_ohm</x:v>
      </x:c>
      <x:c r="G4" s="10" t="str">
        <x:v>capacitance_f</x:v>
      </x:c>
      <x:c r="H4" s="10" t="str">
        <x:v>initial_voltage_v</x:v>
      </x:c>
      <x:c r="I4" s="10" t="str">
        <x:v>final_voltage_v</x:v>
      </x:c>
      <x:c r="J4" s="10" t="str">
        <x:v>peak_voltage_v</x:v>
      </x:c>
      <x:c r="K4" s="10" t="str">
        <x:v>pulse_duration_s</x:v>
      </x:c>
      <x:c r="L4" s="10" t="str">
        <x:v>sampling_rate_hz</x:v>
      </x:c>
      <x:c r="M4" s="10" t="str">
        <x:v>estimated_energy_j</x:v>
      </x:c>
      <x:c r="N4" s="10" t="str">
        <x:v>measurement_status</x:v>
      </x:c>
      <x:c r="O4" s="10" t="str">
        <x:v>notes</x:v>
      </x:c>
    </x:row>
    <x:row r="5">
      <x:c r="A5" s="8" t="str">
        <x:v>TEMPLATE</x:v>
      </x:c>
      <x:c r="B5" s="8"/>
      <x:c r="C5" s="8"/>
      <x:c r="D5" s="8"/>
      <x:c r="E5" s="8"/>
      <x:c r="F5" s="8"/>
      <x:c r="G5" s="8"/>
      <x:c r="H5" s="8"/>
      <x:c r="I5" s="8"/>
      <x:c r="J5" s="8"/>
      <x:c r="K5" s="8"/>
      <x:c r="L5" s="8"/>
      <x:c r="M5" s="8"/>
      <x:c r="N5" s="8" t="str">
        <x:v>placeholder</x:v>
      </x:c>
      <x:c r="O5" s="8" t="str">
        <x:v>Cleaned measured rows will go here after raw trials are collected.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a8bd0a0eac18439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2.5" hidden="0" customWidth="1"/>
    <x:col min="2" max="2" width="23.75" hidden="0" customWidth="1"/>
    <x:col min="3" max="3" width="9" hidden="0" customWidth="1"/>
    <x:col min="4" max="4" width="10.630000114440918" hidden="0" customWidth="1"/>
    <x:col min="5" max="5" width="17.6299991607666" hidden="0" customWidth="1"/>
    <x:col min="6" max="6" width="67" hidden="0" customWidth="1"/>
  </x:cols>
  <x:sheetData>
    <x:row r="1">
      <x:c r="A1" s="2" t="str">
        <x:v>Preliminary Estimate</x:v>
      </x:c>
    </x:row>
    <x:row r="2">
      <x:c r="A2" s="4" t="str">
        <x:v>Remembered value kept separate from measured and simulated data.</x:v>
      </x:c>
    </x:row>
    <x:row r="4">
      <x:c r="A4" s="10" t="str">
        <x:v>source</x:v>
      </x:c>
      <x:c r="B4" s="10" t="str">
        <x:v>estimate_type</x:v>
      </x:c>
      <x:c r="C4" s="10" t="str">
        <x:v>energy_j</x:v>
      </x:c>
      <x:c r="D4" s="10" t="str">
        <x:v>confidence</x:v>
      </x:c>
      <x:c r="E4" s="10" t="str">
        <x:v>measurement_status</x:v>
      </x:c>
      <x:c r="F4" s="10" t="str">
        <x:v>notes</x:v>
      </x:c>
    </x:row>
    <x:row r="5">
      <x:c r="A5" s="8" t="str">
        <x:v>memory</x:v>
      </x:c>
      <x:c r="B5" s="8" t="str">
        <x:v>preliminary remembered estimate</x:v>
      </x:c>
      <x:c r="C5" s="8" t="n">
        <x:v>0.4</x:v>
      </x:c>
      <x:c r="D5" s="8" t="str">
        <x:v>low</x:v>
      </x:c>
      <x:c r="E5" s="8" t="str">
        <x:v>not_measured</x:v>
      </x:c>
      <x:c r="F5" s="8" t="str">
        <x:v>Remembered from the prototype stage; not a saved lab measurement or final experimental result.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7e477bb29d2f4259"/>
  </x:tableParts>
</x:worksheet>
</file>